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soal_office3\"/>
    </mc:Choice>
  </mc:AlternateContent>
  <bookViews>
    <workbookView xWindow="360" yWindow="15" windowWidth="11340" windowHeight="6540" tabRatio="300" activeTab="1"/>
  </bookViews>
  <sheets>
    <sheet name="Sheet1" sheetId="1" r:id="rId1"/>
    <sheet name="Sheet2" sheetId="2" r:id="rId2"/>
  </sheets>
  <definedNames>
    <definedName name="_xlnm._FilterDatabase" localSheetId="0" hidden="1">Sheet1!$A$5:$F$36</definedName>
    <definedName name="_xlnm._FilterDatabase" localSheetId="1" hidden="1">Sheet2!$B$5:$B$36</definedName>
  </definedNames>
  <calcPr calcId="152511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D36" i="1"/>
  <c r="C36" i="1"/>
</calcChain>
</file>

<file path=xl/sharedStrings.xml><?xml version="1.0" encoding="utf-8"?>
<sst xmlns="http://schemas.openxmlformats.org/spreadsheetml/2006/main" count="104" uniqueCount="55">
  <si>
    <t>Item</t>
  </si>
  <si>
    <t>Quantity Ordered</t>
  </si>
  <si>
    <t>Quantity OH</t>
  </si>
  <si>
    <t>Price per item</t>
  </si>
  <si>
    <t>Value of Current Inventory</t>
  </si>
  <si>
    <t>Category</t>
  </si>
  <si>
    <t>Guest Supplies Database</t>
  </si>
  <si>
    <t>Bedding</t>
  </si>
  <si>
    <t>Bed Linen - twin set</t>
  </si>
  <si>
    <t>Bed Linen - queen set</t>
  </si>
  <si>
    <t>Bed Linen - king set</t>
  </si>
  <si>
    <t>Bath towels 20 x 30</t>
  </si>
  <si>
    <t>Bath</t>
  </si>
  <si>
    <t>Bath towels 15 x 20</t>
  </si>
  <si>
    <t>Bathmats</t>
  </si>
  <si>
    <t>Shampoo - Lavender</t>
  </si>
  <si>
    <t>Shampoo - Citrus</t>
  </si>
  <si>
    <t>Conditioner - Lavender</t>
  </si>
  <si>
    <t>Conditioner - Citrus</t>
  </si>
  <si>
    <t>Soap - Moisturizing</t>
  </si>
  <si>
    <t>Soap - Deodorant</t>
  </si>
  <si>
    <t>Soap - Antibacterial</t>
  </si>
  <si>
    <t>Moisturizer - Lavender</t>
  </si>
  <si>
    <t>Moisturizer - Unscented</t>
  </si>
  <si>
    <t>Tissues</t>
  </si>
  <si>
    <t>Toilet Tissue</t>
  </si>
  <si>
    <t>Blankets</t>
  </si>
  <si>
    <t>Comforters</t>
  </si>
  <si>
    <t>Robes - Extra Large</t>
  </si>
  <si>
    <t>Clothing</t>
  </si>
  <si>
    <t>Robes - Large</t>
  </si>
  <si>
    <t>Robes - Medium</t>
  </si>
  <si>
    <t>Slippers - Men's</t>
  </si>
  <si>
    <t>Slippers  - Women's</t>
  </si>
  <si>
    <t>Hair Dryers</t>
  </si>
  <si>
    <t>Coffee Packets</t>
  </si>
  <si>
    <t>Food</t>
  </si>
  <si>
    <t>Tea Bags</t>
  </si>
  <si>
    <t>Sugar Packets</t>
  </si>
  <si>
    <t>Powdered Creamer</t>
  </si>
  <si>
    <t>Adventure Works</t>
  </si>
  <si>
    <t>Sales Summary for January</t>
  </si>
  <si>
    <t>Time</t>
  </si>
  <si>
    <t>Date</t>
  </si>
  <si>
    <t>Day</t>
  </si>
  <si>
    <t>Total</t>
  </si>
  <si>
    <t>Mon</t>
  </si>
  <si>
    <t>Tue</t>
  </si>
  <si>
    <t>Wed</t>
  </si>
  <si>
    <t>Thu</t>
  </si>
  <si>
    <t>Fri</t>
  </si>
  <si>
    <t>Sat</t>
  </si>
  <si>
    <t>Sun</t>
  </si>
  <si>
    <t>Total per jam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</si>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</sst>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0"/>
      <name val="Arial"/>
    </font>
    <font>
      <sz val="10"/>
      <name val="Arial"/>
    </font>
    <font>
      <b/>
      <sz val="22"/>
      <color indexed="43"/>
      <name val="Bradley Hand ITC"/>
      <family val="4"/>
    </font>
    <font>
      <b/>
      <i/>
      <sz val="16"/>
      <name val="Arial"/>
      <family val="2"/>
    </font>
    <font>
      <b/>
      <sz val="10"/>
      <name val="Arial"/>
      <family val="2"/>
    </font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4" fillId="0" borderId="0" xfId="0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4" fontId="4" fillId="5" borderId="0" xfId="1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44" fontId="5" fillId="5" borderId="0" xfId="1" applyFont="1" applyFill="1"/>
    <xf numFmtId="44" fontId="5" fillId="5" borderId="0" xfId="1" applyFont="1" applyFill="1" applyBorder="1"/>
    <xf numFmtId="39" fontId="0" fillId="0" borderId="0" xfId="1" applyNumberFormat="1" applyFont="1"/>
    <xf numFmtId="39" fontId="0" fillId="0" borderId="0" xfId="1" applyNumberFormat="1" applyFont="1" applyBorder="1"/>
    <xf numFmtId="0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E20" sqref="E20"/>
    </sheetView>
  </sheetViews>
  <sheetFormatPr defaultRowHeight="12.75" x14ac:dyDescent="0.2"/>
  <cols>
    <col min="1" max="1" width="21.140625" customWidth="1"/>
    <col min="2" max="2" width="16.140625" customWidth="1"/>
    <col min="3" max="3" width="17.28515625" customWidth="1"/>
    <col min="4" max="4" width="16.140625" customWidth="1"/>
    <col min="5" max="5" width="16.140625" style="1" customWidth="1"/>
    <col min="6" max="6" width="26.5703125" style="1" bestFit="1" customWidth="1"/>
    <col min="7" max="7" width="16.140625" customWidth="1"/>
  </cols>
  <sheetData>
    <row r="1" spans="1:8" ht="31.5" x14ac:dyDescent="0.65">
      <c r="A1" s="7" t="s">
        <v>40</v>
      </c>
      <c r="B1" s="6"/>
      <c r="C1" s="6"/>
      <c r="D1" s="6"/>
      <c r="E1" s="6"/>
      <c r="F1" s="6"/>
      <c r="G1" s="11"/>
      <c r="H1" s="11"/>
    </row>
    <row r="2" spans="1:8" s="2" customFormat="1" x14ac:dyDescent="0.2">
      <c r="E2" s="3"/>
      <c r="F2" s="3"/>
    </row>
    <row r="3" spans="1:8" ht="20.25" x14ac:dyDescent="0.3">
      <c r="A3" s="8" t="s">
        <v>6</v>
      </c>
      <c r="B3" s="8"/>
      <c r="C3" s="8"/>
      <c r="D3" s="8"/>
      <c r="E3" s="8"/>
      <c r="F3" s="8"/>
      <c r="G3" s="12"/>
      <c r="H3" s="12"/>
    </row>
    <row r="4" spans="1:8" s="5" customFormat="1" x14ac:dyDescent="0.2">
      <c r="A4" s="9" t="s">
        <v>0</v>
      </c>
      <c r="B4" s="9" t="s">
        <v>5</v>
      </c>
      <c r="C4" s="9" t="s">
        <v>1</v>
      </c>
      <c r="D4" s="9" t="s">
        <v>2</v>
      </c>
      <c r="E4" s="10" t="s">
        <v>3</v>
      </c>
      <c r="F4" s="16" t="s">
        <v>4</v>
      </c>
    </row>
    <row r="5" spans="1:8" s="9" customFormat="1" x14ac:dyDescent="0.2">
      <c r="F5" s="17"/>
    </row>
    <row r="6" spans="1:8" x14ac:dyDescent="0.2">
      <c r="A6" t="s">
        <v>11</v>
      </c>
      <c r="B6" t="s">
        <v>12</v>
      </c>
      <c r="C6">
        <v>127</v>
      </c>
      <c r="D6">
        <v>598</v>
      </c>
      <c r="E6" s="20">
        <v>5.99</v>
      </c>
      <c r="F6" s="18">
        <f t="shared" ref="F6:F35" si="0">E6*D6</f>
        <v>3582.02</v>
      </c>
    </row>
    <row r="7" spans="1:8" x14ac:dyDescent="0.2">
      <c r="A7" t="s">
        <v>13</v>
      </c>
      <c r="B7" t="s">
        <v>12</v>
      </c>
      <c r="C7">
        <v>251</v>
      </c>
      <c r="D7">
        <v>728</v>
      </c>
      <c r="E7" s="20">
        <v>4.25</v>
      </c>
      <c r="F7" s="18">
        <f t="shared" si="0"/>
        <v>3094</v>
      </c>
    </row>
    <row r="8" spans="1:8" x14ac:dyDescent="0.2">
      <c r="A8" t="s">
        <v>14</v>
      </c>
      <c r="B8" t="s">
        <v>12</v>
      </c>
      <c r="C8">
        <v>18</v>
      </c>
      <c r="D8">
        <v>252</v>
      </c>
      <c r="E8" s="20">
        <v>5.5</v>
      </c>
      <c r="F8" s="18">
        <f t="shared" si="0"/>
        <v>1386</v>
      </c>
    </row>
    <row r="9" spans="1:8" x14ac:dyDescent="0.2">
      <c r="A9" t="s">
        <v>15</v>
      </c>
      <c r="B9" t="s">
        <v>12</v>
      </c>
      <c r="C9">
        <v>1250</v>
      </c>
      <c r="D9">
        <v>865</v>
      </c>
      <c r="E9" s="20">
        <v>2.75</v>
      </c>
      <c r="F9" s="18">
        <f t="shared" si="0"/>
        <v>2378.75</v>
      </c>
    </row>
    <row r="10" spans="1:8" x14ac:dyDescent="0.2">
      <c r="A10" t="s">
        <v>16</v>
      </c>
      <c r="B10" t="s">
        <v>12</v>
      </c>
      <c r="C10">
        <v>1375</v>
      </c>
      <c r="D10">
        <v>758</v>
      </c>
      <c r="E10" s="20">
        <v>2.75</v>
      </c>
      <c r="F10" s="18">
        <f t="shared" si="0"/>
        <v>2084.5</v>
      </c>
    </row>
    <row r="11" spans="1:8" x14ac:dyDescent="0.2">
      <c r="A11" t="s">
        <v>17</v>
      </c>
      <c r="B11" t="s">
        <v>12</v>
      </c>
      <c r="C11">
        <v>875</v>
      </c>
      <c r="D11">
        <v>650</v>
      </c>
      <c r="E11" s="20">
        <v>2.95</v>
      </c>
      <c r="F11" s="18">
        <f t="shared" si="0"/>
        <v>1917.5000000000002</v>
      </c>
    </row>
    <row r="12" spans="1:8" x14ac:dyDescent="0.2">
      <c r="A12" t="s">
        <v>18</v>
      </c>
      <c r="B12" t="s">
        <v>12</v>
      </c>
      <c r="C12">
        <v>925</v>
      </c>
      <c r="D12">
        <v>782</v>
      </c>
      <c r="E12" s="20">
        <v>2.95</v>
      </c>
      <c r="F12" s="18">
        <f t="shared" si="0"/>
        <v>2306.9</v>
      </c>
    </row>
    <row r="13" spans="1:8" x14ac:dyDescent="0.2">
      <c r="A13" t="s">
        <v>19</v>
      </c>
      <c r="B13" t="s">
        <v>12</v>
      </c>
      <c r="C13">
        <v>2562</v>
      </c>
      <c r="D13">
        <v>1258</v>
      </c>
      <c r="E13" s="20">
        <v>1.75</v>
      </c>
      <c r="F13" s="18">
        <f t="shared" si="0"/>
        <v>2201.5</v>
      </c>
    </row>
    <row r="14" spans="1:8" x14ac:dyDescent="0.2">
      <c r="A14" t="s">
        <v>20</v>
      </c>
      <c r="B14" t="s">
        <v>12</v>
      </c>
      <c r="C14">
        <v>2789</v>
      </c>
      <c r="D14">
        <v>1576</v>
      </c>
      <c r="E14" s="20">
        <v>1.85</v>
      </c>
      <c r="F14" s="18">
        <f t="shared" si="0"/>
        <v>2915.6000000000004</v>
      </c>
    </row>
    <row r="15" spans="1:8" x14ac:dyDescent="0.2">
      <c r="A15" t="s">
        <v>21</v>
      </c>
      <c r="B15" t="s">
        <v>12</v>
      </c>
      <c r="C15">
        <v>1573</v>
      </c>
      <c r="D15">
        <v>845</v>
      </c>
      <c r="E15" s="20">
        <v>1.25</v>
      </c>
      <c r="F15" s="18">
        <f t="shared" si="0"/>
        <v>1056.25</v>
      </c>
    </row>
    <row r="16" spans="1:8" x14ac:dyDescent="0.2">
      <c r="A16" t="s">
        <v>22</v>
      </c>
      <c r="B16" t="s">
        <v>12</v>
      </c>
      <c r="C16">
        <v>750</v>
      </c>
      <c r="D16">
        <v>256</v>
      </c>
      <c r="E16" s="20">
        <v>2.5</v>
      </c>
      <c r="F16" s="18">
        <f t="shared" si="0"/>
        <v>640</v>
      </c>
    </row>
    <row r="17" spans="1:6" x14ac:dyDescent="0.2">
      <c r="A17" t="s">
        <v>23</v>
      </c>
      <c r="B17" t="s">
        <v>12</v>
      </c>
      <c r="C17">
        <v>652</v>
      </c>
      <c r="D17">
        <v>345</v>
      </c>
      <c r="E17" s="20">
        <v>2.75</v>
      </c>
      <c r="F17" s="18">
        <f t="shared" si="0"/>
        <v>948.75</v>
      </c>
    </row>
    <row r="18" spans="1:6" x14ac:dyDescent="0.2">
      <c r="A18" t="s">
        <v>24</v>
      </c>
      <c r="B18" t="s">
        <v>12</v>
      </c>
      <c r="C18">
        <v>235</v>
      </c>
      <c r="D18">
        <v>240</v>
      </c>
      <c r="E18" s="20">
        <v>0.85</v>
      </c>
      <c r="F18" s="18">
        <f t="shared" si="0"/>
        <v>204</v>
      </c>
    </row>
    <row r="19" spans="1:6" x14ac:dyDescent="0.2">
      <c r="A19" t="s">
        <v>25</v>
      </c>
      <c r="B19" t="s">
        <v>12</v>
      </c>
      <c r="C19">
        <v>3526</v>
      </c>
      <c r="D19">
        <v>4205</v>
      </c>
      <c r="E19" s="20">
        <v>0.25</v>
      </c>
      <c r="F19" s="18">
        <f t="shared" si="0"/>
        <v>1051.25</v>
      </c>
    </row>
    <row r="20" spans="1:6" x14ac:dyDescent="0.2">
      <c r="A20" t="s">
        <v>34</v>
      </c>
      <c r="B20" t="s">
        <v>12</v>
      </c>
      <c r="C20">
        <v>35</v>
      </c>
      <c r="D20">
        <v>126</v>
      </c>
      <c r="E20" s="20">
        <v>12.5</v>
      </c>
      <c r="F20" s="18">
        <f t="shared" si="0"/>
        <v>1575</v>
      </c>
    </row>
    <row r="21" spans="1:6" s="4" customFormat="1" x14ac:dyDescent="0.2">
      <c r="E21" s="21"/>
      <c r="F21" s="19"/>
    </row>
    <row r="22" spans="1:6" x14ac:dyDescent="0.2">
      <c r="A22" t="s">
        <v>8</v>
      </c>
      <c r="B22" t="s">
        <v>7</v>
      </c>
      <c r="C22">
        <v>52</v>
      </c>
      <c r="D22">
        <v>125</v>
      </c>
      <c r="E22" s="20">
        <v>15</v>
      </c>
      <c r="F22" s="18">
        <f>E22*D22</f>
        <v>1875</v>
      </c>
    </row>
    <row r="23" spans="1:6" x14ac:dyDescent="0.2">
      <c r="A23" t="s">
        <v>9</v>
      </c>
      <c r="B23" t="s">
        <v>7</v>
      </c>
      <c r="C23">
        <v>65</v>
      </c>
      <c r="D23">
        <v>114</v>
      </c>
      <c r="E23" s="20">
        <v>22</v>
      </c>
      <c r="F23" s="18">
        <f t="shared" si="0"/>
        <v>2508</v>
      </c>
    </row>
    <row r="24" spans="1:6" x14ac:dyDescent="0.2">
      <c r="A24" t="s">
        <v>10</v>
      </c>
      <c r="B24" t="s">
        <v>7</v>
      </c>
      <c r="C24">
        <v>36</v>
      </c>
      <c r="D24">
        <v>120</v>
      </c>
      <c r="E24" s="20">
        <v>30</v>
      </c>
      <c r="F24" s="18">
        <f t="shared" si="0"/>
        <v>3600</v>
      </c>
    </row>
    <row r="25" spans="1:6" x14ac:dyDescent="0.2">
      <c r="A25" t="s">
        <v>26</v>
      </c>
      <c r="B25" t="s">
        <v>7</v>
      </c>
      <c r="C25">
        <v>52</v>
      </c>
      <c r="D25">
        <v>298</v>
      </c>
      <c r="E25" s="20">
        <v>18.5</v>
      </c>
      <c r="F25" s="18">
        <f t="shared" si="0"/>
        <v>5513</v>
      </c>
    </row>
    <row r="26" spans="1:6" x14ac:dyDescent="0.2">
      <c r="A26" t="s">
        <v>27</v>
      </c>
      <c r="B26" t="s">
        <v>7</v>
      </c>
      <c r="C26">
        <v>63</v>
      </c>
      <c r="D26">
        <v>358</v>
      </c>
      <c r="E26" s="20">
        <v>25.2</v>
      </c>
      <c r="F26" s="18">
        <f t="shared" si="0"/>
        <v>9021.6</v>
      </c>
    </row>
    <row r="27" spans="1:6" x14ac:dyDescent="0.2">
      <c r="A27" t="s">
        <v>28</v>
      </c>
      <c r="B27" t="s">
        <v>29</v>
      </c>
      <c r="C27">
        <v>580</v>
      </c>
      <c r="D27">
        <v>620</v>
      </c>
      <c r="E27" s="20">
        <v>38.75</v>
      </c>
      <c r="F27" s="18">
        <f t="shared" si="0"/>
        <v>24025</v>
      </c>
    </row>
    <row r="28" spans="1:6" x14ac:dyDescent="0.2">
      <c r="A28" t="s">
        <v>30</v>
      </c>
      <c r="B28" t="s">
        <v>29</v>
      </c>
      <c r="C28">
        <v>478</v>
      </c>
      <c r="D28">
        <v>572</v>
      </c>
      <c r="E28" s="20">
        <v>37.25</v>
      </c>
      <c r="F28" s="18">
        <f t="shared" si="0"/>
        <v>21307</v>
      </c>
    </row>
    <row r="29" spans="1:6" x14ac:dyDescent="0.2">
      <c r="A29" t="s">
        <v>31</v>
      </c>
      <c r="B29" t="s">
        <v>29</v>
      </c>
      <c r="C29">
        <v>356</v>
      </c>
      <c r="D29">
        <v>487</v>
      </c>
      <c r="E29" s="20">
        <v>32.5</v>
      </c>
      <c r="F29" s="18">
        <f t="shared" si="0"/>
        <v>15827.5</v>
      </c>
    </row>
    <row r="30" spans="1:6" x14ac:dyDescent="0.2">
      <c r="A30" t="s">
        <v>32</v>
      </c>
      <c r="B30" t="s">
        <v>29</v>
      </c>
      <c r="C30">
        <v>825</v>
      </c>
      <c r="D30">
        <v>1250</v>
      </c>
      <c r="E30" s="20">
        <v>8.75</v>
      </c>
      <c r="F30" s="18">
        <f t="shared" si="0"/>
        <v>10937.5</v>
      </c>
    </row>
    <row r="31" spans="1:6" x14ac:dyDescent="0.2">
      <c r="A31" t="s">
        <v>33</v>
      </c>
      <c r="B31" t="s">
        <v>29</v>
      </c>
      <c r="C31">
        <v>452</v>
      </c>
      <c r="D31">
        <v>896</v>
      </c>
      <c r="E31" s="20">
        <v>7.5</v>
      </c>
      <c r="F31" s="18">
        <f t="shared" si="0"/>
        <v>6720</v>
      </c>
    </row>
    <row r="32" spans="1:6" x14ac:dyDescent="0.2">
      <c r="A32" t="s">
        <v>35</v>
      </c>
      <c r="B32" t="s">
        <v>36</v>
      </c>
      <c r="C32">
        <v>4598</v>
      </c>
      <c r="D32">
        <v>5681</v>
      </c>
      <c r="E32" s="20">
        <v>0.75</v>
      </c>
      <c r="F32" s="18">
        <f t="shared" si="0"/>
        <v>4260.75</v>
      </c>
    </row>
    <row r="33" spans="1:6" x14ac:dyDescent="0.2">
      <c r="A33" t="s">
        <v>37</v>
      </c>
      <c r="B33" t="s">
        <v>36</v>
      </c>
      <c r="C33">
        <v>6789</v>
      </c>
      <c r="D33">
        <v>5241</v>
      </c>
      <c r="E33" s="20">
        <v>0.35</v>
      </c>
      <c r="F33" s="18">
        <f t="shared" si="0"/>
        <v>1834.35</v>
      </c>
    </row>
    <row r="34" spans="1:6" x14ac:dyDescent="0.2">
      <c r="A34" t="s">
        <v>38</v>
      </c>
      <c r="B34" t="s">
        <v>36</v>
      </c>
      <c r="C34">
        <v>8912</v>
      </c>
      <c r="D34">
        <v>10562</v>
      </c>
      <c r="E34" s="20">
        <v>0.02</v>
      </c>
      <c r="F34" s="18">
        <f t="shared" si="0"/>
        <v>211.24</v>
      </c>
    </row>
    <row r="35" spans="1:6" x14ac:dyDescent="0.2">
      <c r="A35" t="s">
        <v>39</v>
      </c>
      <c r="B35" t="s">
        <v>36</v>
      </c>
      <c r="C35">
        <v>6572</v>
      </c>
      <c r="D35">
        <v>9842</v>
      </c>
      <c r="E35" s="20">
        <v>0.05</v>
      </c>
      <c r="F35" s="18">
        <f t="shared" si="0"/>
        <v>492.1</v>
      </c>
    </row>
    <row r="36" spans="1:6" x14ac:dyDescent="0.2">
      <c r="C36">
        <f>SUM(C6:C35)</f>
        <v>46773</v>
      </c>
      <c r="D36">
        <f>SUM(D6:D35)</f>
        <v>49650</v>
      </c>
      <c r="E36" s="20"/>
      <c r="F36" s="18">
        <f>SUM(F6:F35)</f>
        <v>135475.06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8"/>
  <sheetViews>
    <sheetView tabSelected="1" workbookViewId="0">
      <selection activeCell="P46" sqref="P46"/>
    </sheetView>
  </sheetViews>
  <sheetFormatPr defaultRowHeight="12.75" x14ac:dyDescent="0.2"/>
  <cols>
    <col min="2" max="2" width="13.28515625" style="13" bestFit="1" customWidth="1"/>
  </cols>
  <sheetData>
    <row r="2" spans="1:16" ht="18" x14ac:dyDescent="0.25">
      <c r="E2" s="23" t="s">
        <v>41</v>
      </c>
      <c r="F2" s="23"/>
      <c r="G2" s="23"/>
      <c r="H2" s="23"/>
      <c r="I2" s="23"/>
    </row>
    <row r="3" spans="1:16" s="14" customFormat="1" ht="12.75" customHeight="1" x14ac:dyDescent="0.25">
      <c r="C3" s="15" t="s">
        <v>42</v>
      </c>
    </row>
    <row r="4" spans="1:16" s="14" customFormat="1" ht="12.75" customHeight="1" x14ac:dyDescent="0.2"/>
    <row r="5" spans="1:16" s="14" customFormat="1" ht="12.75" customHeight="1" x14ac:dyDescent="0.25">
      <c r="A5" s="15" t="s">
        <v>43</v>
      </c>
      <c r="B5" s="15" t="s">
        <v>44</v>
      </c>
      <c r="C5" s="22">
        <v>0.375</v>
      </c>
      <c r="D5" s="22">
        <v>0.41666666666666669</v>
      </c>
      <c r="E5" s="22">
        <v>0.45833333333333298</v>
      </c>
      <c r="F5" s="22">
        <v>0.5</v>
      </c>
      <c r="G5" s="22">
        <v>0.54166666666666696</v>
      </c>
      <c r="H5" s="22">
        <v>0.58333333333333304</v>
      </c>
      <c r="I5" s="22">
        <v>0.625</v>
      </c>
      <c r="J5" s="22">
        <v>0.66666666666666696</v>
      </c>
      <c r="K5" s="22">
        <v>0.70833333333333304</v>
      </c>
      <c r="L5" s="22">
        <v>0.75</v>
      </c>
      <c r="M5" s="22">
        <v>0.79166666666666696</v>
      </c>
      <c r="N5" s="22">
        <v>0.83333333333333404</v>
      </c>
      <c r="O5" s="14" t="s">
        <v>45</v>
      </c>
      <c r="P5" s="14" t="s">
        <v>54</v>
      </c>
    </row>
    <row r="6" spans="1:16" ht="12.75" customHeight="1" x14ac:dyDescent="0.2">
      <c r="A6">
        <v>1</v>
      </c>
      <c r="B6" s="13" t="s">
        <v>46</v>
      </c>
      <c r="C6">
        <v>147</v>
      </c>
      <c r="D6">
        <v>802</v>
      </c>
      <c r="E6">
        <v>185</v>
      </c>
      <c r="F6">
        <v>202</v>
      </c>
      <c r="G6">
        <v>246</v>
      </c>
      <c r="H6">
        <v>202</v>
      </c>
      <c r="I6">
        <v>125</v>
      </c>
      <c r="J6">
        <v>187</v>
      </c>
      <c r="K6">
        <v>303</v>
      </c>
      <c r="L6">
        <v>485</v>
      </c>
      <c r="M6">
        <v>367</v>
      </c>
      <c r="N6">
        <v>202</v>
      </c>
    </row>
    <row r="7" spans="1:16" ht="12.75" customHeight="1" x14ac:dyDescent="0.2">
      <c r="A7">
        <v>2</v>
      </c>
      <c r="B7" s="13" t="s">
        <v>47</v>
      </c>
      <c r="C7">
        <v>161</v>
      </c>
      <c r="D7">
        <v>285</v>
      </c>
      <c r="E7">
        <v>382</v>
      </c>
      <c r="F7">
        <v>285</v>
      </c>
      <c r="G7">
        <v>300</v>
      </c>
      <c r="H7">
        <v>158</v>
      </c>
      <c r="I7">
        <v>249</v>
      </c>
      <c r="J7">
        <v>385</v>
      </c>
      <c r="K7">
        <v>300</v>
      </c>
      <c r="L7">
        <v>502</v>
      </c>
      <c r="M7">
        <v>284</v>
      </c>
      <c r="N7">
        <v>202</v>
      </c>
    </row>
    <row r="8" spans="1:16" ht="12.75" customHeight="1" x14ac:dyDescent="0.2">
      <c r="A8">
        <v>3</v>
      </c>
      <c r="B8" s="13" t="s">
        <v>48</v>
      </c>
      <c r="C8">
        <v>182</v>
      </c>
      <c r="D8">
        <v>301</v>
      </c>
      <c r="E8">
        <v>400</v>
      </c>
      <c r="F8">
        <v>187</v>
      </c>
      <c r="G8">
        <v>189</v>
      </c>
      <c r="H8">
        <v>285</v>
      </c>
      <c r="I8">
        <v>302</v>
      </c>
      <c r="J8">
        <v>277</v>
      </c>
      <c r="K8">
        <v>189</v>
      </c>
      <c r="L8">
        <v>750</v>
      </c>
      <c r="M8">
        <v>404</v>
      </c>
      <c r="N8">
        <v>300</v>
      </c>
    </row>
    <row r="9" spans="1:16" ht="12.75" customHeight="1" x14ac:dyDescent="0.2">
      <c r="A9">
        <v>4</v>
      </c>
      <c r="B9" s="13" t="s">
        <v>49</v>
      </c>
      <c r="C9">
        <v>201</v>
      </c>
      <c r="D9">
        <v>250</v>
      </c>
      <c r="E9">
        <v>192</v>
      </c>
      <c r="F9">
        <v>385</v>
      </c>
      <c r="G9">
        <v>101</v>
      </c>
      <c r="H9">
        <v>168</v>
      </c>
      <c r="I9">
        <v>228</v>
      </c>
      <c r="J9">
        <v>150</v>
      </c>
      <c r="K9">
        <v>101</v>
      </c>
      <c r="L9">
        <v>475</v>
      </c>
      <c r="M9">
        <v>302</v>
      </c>
      <c r="N9">
        <v>189</v>
      </c>
    </row>
    <row r="10" spans="1:16" ht="12.75" customHeight="1" x14ac:dyDescent="0.2">
      <c r="A10">
        <v>5</v>
      </c>
      <c r="B10" s="13" t="s">
        <v>50</v>
      </c>
      <c r="C10">
        <v>158</v>
      </c>
      <c r="D10">
        <v>247</v>
      </c>
      <c r="E10">
        <v>166</v>
      </c>
      <c r="F10">
        <v>277</v>
      </c>
      <c r="G10">
        <v>135</v>
      </c>
      <c r="H10">
        <v>350</v>
      </c>
      <c r="I10">
        <v>412</v>
      </c>
      <c r="J10">
        <v>102</v>
      </c>
      <c r="K10">
        <v>135</v>
      </c>
      <c r="L10">
        <v>380</v>
      </c>
      <c r="M10">
        <v>165</v>
      </c>
      <c r="N10">
        <v>101</v>
      </c>
    </row>
    <row r="11" spans="1:16" ht="12.75" customHeight="1" x14ac:dyDescent="0.2">
      <c r="A11">
        <v>6</v>
      </c>
      <c r="B11" s="13" t="s">
        <v>51</v>
      </c>
      <c r="C11">
        <v>190</v>
      </c>
      <c r="D11">
        <v>499</v>
      </c>
      <c r="E11">
        <v>235</v>
      </c>
      <c r="F11">
        <v>150</v>
      </c>
      <c r="G11">
        <v>206</v>
      </c>
      <c r="H11">
        <v>189</v>
      </c>
      <c r="I11">
        <v>602</v>
      </c>
      <c r="J11">
        <v>401</v>
      </c>
      <c r="K11">
        <v>206</v>
      </c>
      <c r="L11">
        <v>601</v>
      </c>
      <c r="M11">
        <v>388</v>
      </c>
      <c r="N11">
        <v>135</v>
      </c>
    </row>
    <row r="12" spans="1:16" ht="12.75" customHeight="1" x14ac:dyDescent="0.2">
      <c r="A12">
        <v>7</v>
      </c>
      <c r="B12" s="13" t="s">
        <v>52</v>
      </c>
      <c r="C12">
        <v>243</v>
      </c>
      <c r="D12">
        <v>285</v>
      </c>
      <c r="E12">
        <v>140</v>
      </c>
      <c r="F12">
        <v>102</v>
      </c>
      <c r="G12">
        <v>189</v>
      </c>
      <c r="H12">
        <v>85</v>
      </c>
      <c r="I12">
        <v>147</v>
      </c>
      <c r="J12">
        <v>299</v>
      </c>
      <c r="K12">
        <v>189</v>
      </c>
      <c r="L12">
        <v>499</v>
      </c>
      <c r="M12">
        <v>479</v>
      </c>
      <c r="N12">
        <v>206</v>
      </c>
    </row>
    <row r="13" spans="1:16" ht="12.75" customHeight="1" x14ac:dyDescent="0.2">
      <c r="A13">
        <v>8</v>
      </c>
      <c r="B13" s="13" t="s">
        <v>46</v>
      </c>
      <c r="C13">
        <v>147</v>
      </c>
      <c r="D13">
        <v>168</v>
      </c>
      <c r="E13">
        <v>249</v>
      </c>
      <c r="F13">
        <v>401</v>
      </c>
      <c r="G13">
        <v>243</v>
      </c>
      <c r="H13">
        <v>158</v>
      </c>
      <c r="I13">
        <v>208</v>
      </c>
      <c r="J13">
        <v>382</v>
      </c>
      <c r="K13">
        <v>243</v>
      </c>
      <c r="L13">
        <v>444</v>
      </c>
      <c r="M13">
        <v>208</v>
      </c>
      <c r="N13">
        <v>189</v>
      </c>
    </row>
    <row r="14" spans="1:16" ht="12.75" customHeight="1" x14ac:dyDescent="0.2">
      <c r="A14">
        <v>9</v>
      </c>
      <c r="B14" s="13" t="s">
        <v>47</v>
      </c>
      <c r="C14">
        <v>161</v>
      </c>
      <c r="D14">
        <v>350</v>
      </c>
      <c r="E14">
        <v>302</v>
      </c>
      <c r="F14">
        <v>299</v>
      </c>
      <c r="G14">
        <v>147</v>
      </c>
      <c r="H14">
        <v>166</v>
      </c>
      <c r="I14">
        <v>385</v>
      </c>
      <c r="J14">
        <v>400</v>
      </c>
      <c r="K14">
        <v>147</v>
      </c>
      <c r="L14">
        <v>1028</v>
      </c>
      <c r="M14">
        <v>385</v>
      </c>
      <c r="N14">
        <v>243</v>
      </c>
    </row>
    <row r="15" spans="1:16" ht="12.75" customHeight="1" x14ac:dyDescent="0.2">
      <c r="A15">
        <v>10</v>
      </c>
      <c r="B15" s="13" t="s">
        <v>48</v>
      </c>
      <c r="C15">
        <v>182</v>
      </c>
      <c r="D15">
        <v>189</v>
      </c>
      <c r="E15">
        <v>228</v>
      </c>
      <c r="F15">
        <v>382</v>
      </c>
      <c r="G15">
        <v>161</v>
      </c>
      <c r="H15">
        <v>187</v>
      </c>
      <c r="I15">
        <v>277</v>
      </c>
      <c r="J15">
        <v>158</v>
      </c>
      <c r="K15">
        <v>161</v>
      </c>
      <c r="L15">
        <v>166</v>
      </c>
      <c r="M15">
        <v>277</v>
      </c>
      <c r="N15">
        <v>147</v>
      </c>
    </row>
    <row r="16" spans="1:16" ht="12.75" customHeight="1" x14ac:dyDescent="0.2">
      <c r="A16">
        <v>11</v>
      </c>
      <c r="B16" s="13" t="s">
        <v>49</v>
      </c>
      <c r="C16">
        <v>201</v>
      </c>
      <c r="D16">
        <v>85</v>
      </c>
      <c r="E16">
        <v>412</v>
      </c>
      <c r="F16">
        <v>400</v>
      </c>
      <c r="G16">
        <v>401</v>
      </c>
      <c r="H16">
        <v>202</v>
      </c>
      <c r="I16">
        <v>150</v>
      </c>
      <c r="J16">
        <v>102</v>
      </c>
      <c r="K16">
        <v>277</v>
      </c>
      <c r="L16">
        <v>187</v>
      </c>
      <c r="M16">
        <v>150</v>
      </c>
      <c r="N16">
        <v>161</v>
      </c>
    </row>
    <row r="17" spans="1:14" ht="12.75" customHeight="1" x14ac:dyDescent="0.2">
      <c r="A17">
        <v>12</v>
      </c>
      <c r="B17" s="13" t="s">
        <v>50</v>
      </c>
      <c r="C17">
        <v>158</v>
      </c>
      <c r="D17">
        <v>208</v>
      </c>
      <c r="E17">
        <v>602</v>
      </c>
      <c r="F17">
        <v>158</v>
      </c>
      <c r="G17">
        <v>187</v>
      </c>
      <c r="H17">
        <v>300</v>
      </c>
      <c r="I17">
        <v>102</v>
      </c>
      <c r="J17">
        <v>70</v>
      </c>
      <c r="K17">
        <v>249</v>
      </c>
      <c r="L17">
        <v>858</v>
      </c>
      <c r="M17">
        <v>102</v>
      </c>
      <c r="N17">
        <v>182</v>
      </c>
    </row>
    <row r="18" spans="1:14" ht="12.75" customHeight="1" x14ac:dyDescent="0.2">
      <c r="A18">
        <v>13</v>
      </c>
      <c r="B18" s="13" t="s">
        <v>51</v>
      </c>
      <c r="C18">
        <v>190</v>
      </c>
      <c r="D18">
        <v>385</v>
      </c>
      <c r="E18">
        <v>147</v>
      </c>
      <c r="F18">
        <v>189</v>
      </c>
      <c r="G18">
        <v>125</v>
      </c>
      <c r="H18">
        <v>189</v>
      </c>
      <c r="I18">
        <v>382</v>
      </c>
      <c r="J18">
        <v>285</v>
      </c>
      <c r="K18">
        <v>302</v>
      </c>
      <c r="L18">
        <v>795</v>
      </c>
      <c r="M18">
        <v>401</v>
      </c>
      <c r="N18">
        <v>201</v>
      </c>
    </row>
    <row r="19" spans="1:14" ht="12.75" customHeight="1" x14ac:dyDescent="0.2">
      <c r="A19">
        <v>14</v>
      </c>
      <c r="B19" s="13" t="s">
        <v>52</v>
      </c>
      <c r="C19">
        <v>243</v>
      </c>
      <c r="D19">
        <v>277</v>
      </c>
      <c r="E19">
        <v>208</v>
      </c>
      <c r="F19">
        <v>333</v>
      </c>
      <c r="G19">
        <v>283</v>
      </c>
      <c r="H19">
        <v>101</v>
      </c>
      <c r="I19">
        <v>400</v>
      </c>
      <c r="J19">
        <v>187</v>
      </c>
      <c r="K19">
        <v>228</v>
      </c>
      <c r="L19">
        <v>900</v>
      </c>
      <c r="M19">
        <v>299</v>
      </c>
      <c r="N19">
        <v>158</v>
      </c>
    </row>
    <row r="20" spans="1:14" ht="12.75" customHeight="1" x14ac:dyDescent="0.2">
      <c r="A20">
        <v>15</v>
      </c>
      <c r="B20" s="13" t="s">
        <v>46</v>
      </c>
      <c r="C20">
        <v>147</v>
      </c>
      <c r="D20">
        <v>150</v>
      </c>
      <c r="E20">
        <v>385</v>
      </c>
      <c r="F20">
        <v>401</v>
      </c>
      <c r="G20">
        <v>166</v>
      </c>
      <c r="H20">
        <v>135</v>
      </c>
      <c r="I20">
        <v>192</v>
      </c>
      <c r="J20">
        <v>385</v>
      </c>
      <c r="K20">
        <v>412</v>
      </c>
      <c r="L20">
        <v>849</v>
      </c>
      <c r="M20">
        <v>382</v>
      </c>
      <c r="N20">
        <v>190</v>
      </c>
    </row>
    <row r="21" spans="1:14" ht="12.75" customHeight="1" x14ac:dyDescent="0.2">
      <c r="A21">
        <v>16</v>
      </c>
      <c r="B21" s="13" t="s">
        <v>47</v>
      </c>
      <c r="C21">
        <v>202</v>
      </c>
      <c r="D21">
        <v>102</v>
      </c>
      <c r="E21">
        <v>277</v>
      </c>
      <c r="F21">
        <v>187</v>
      </c>
      <c r="G21">
        <v>187</v>
      </c>
      <c r="H21">
        <v>206</v>
      </c>
      <c r="I21">
        <v>166</v>
      </c>
      <c r="J21">
        <v>277</v>
      </c>
      <c r="K21">
        <v>602</v>
      </c>
      <c r="L21">
        <v>1003</v>
      </c>
      <c r="M21">
        <v>400</v>
      </c>
      <c r="N21">
        <v>101</v>
      </c>
    </row>
    <row r="22" spans="1:14" ht="12.75" customHeight="1" x14ac:dyDescent="0.2">
      <c r="A22">
        <v>17</v>
      </c>
      <c r="B22" s="13" t="s">
        <v>48</v>
      </c>
      <c r="C22">
        <v>300</v>
      </c>
      <c r="D22">
        <v>401</v>
      </c>
      <c r="E22">
        <v>150</v>
      </c>
      <c r="F22">
        <v>125</v>
      </c>
      <c r="G22">
        <v>385</v>
      </c>
      <c r="H22">
        <v>189</v>
      </c>
      <c r="I22">
        <v>235</v>
      </c>
      <c r="J22">
        <v>150</v>
      </c>
      <c r="K22">
        <v>147</v>
      </c>
      <c r="L22">
        <v>602</v>
      </c>
      <c r="M22">
        <v>192</v>
      </c>
      <c r="N22">
        <v>135</v>
      </c>
    </row>
    <row r="23" spans="1:14" ht="12.75" customHeight="1" x14ac:dyDescent="0.2">
      <c r="A23">
        <v>18</v>
      </c>
      <c r="B23" s="13" t="s">
        <v>49</v>
      </c>
      <c r="C23">
        <v>189</v>
      </c>
      <c r="D23">
        <v>299</v>
      </c>
      <c r="E23">
        <v>102</v>
      </c>
      <c r="F23">
        <v>283</v>
      </c>
      <c r="G23">
        <v>277</v>
      </c>
      <c r="H23">
        <v>333</v>
      </c>
      <c r="I23">
        <v>285</v>
      </c>
      <c r="J23">
        <v>382</v>
      </c>
      <c r="K23">
        <v>208</v>
      </c>
      <c r="L23">
        <v>187</v>
      </c>
      <c r="M23">
        <v>166</v>
      </c>
      <c r="N23">
        <v>206</v>
      </c>
    </row>
    <row r="24" spans="1:14" ht="12.75" customHeight="1" x14ac:dyDescent="0.2">
      <c r="A24">
        <v>19</v>
      </c>
      <c r="B24" s="13" t="s">
        <v>50</v>
      </c>
      <c r="C24">
        <v>101</v>
      </c>
      <c r="D24">
        <v>166</v>
      </c>
      <c r="E24">
        <v>401</v>
      </c>
      <c r="F24">
        <v>166</v>
      </c>
      <c r="G24">
        <v>201</v>
      </c>
      <c r="H24">
        <v>401</v>
      </c>
      <c r="I24">
        <v>301</v>
      </c>
      <c r="J24">
        <v>400</v>
      </c>
      <c r="K24">
        <v>385</v>
      </c>
      <c r="L24">
        <v>385</v>
      </c>
      <c r="M24">
        <v>235</v>
      </c>
      <c r="N24">
        <v>189</v>
      </c>
    </row>
    <row r="25" spans="1:14" ht="12.75" customHeight="1" x14ac:dyDescent="0.2">
      <c r="A25">
        <v>20</v>
      </c>
      <c r="B25" s="13" t="s">
        <v>51</v>
      </c>
      <c r="C25">
        <v>135</v>
      </c>
      <c r="D25">
        <v>235</v>
      </c>
      <c r="E25">
        <v>299</v>
      </c>
      <c r="F25">
        <v>202</v>
      </c>
      <c r="G25">
        <v>125</v>
      </c>
      <c r="H25">
        <v>187</v>
      </c>
      <c r="I25">
        <v>303</v>
      </c>
      <c r="J25">
        <v>409</v>
      </c>
      <c r="K25">
        <v>277</v>
      </c>
      <c r="L25">
        <v>277</v>
      </c>
      <c r="M25">
        <v>140</v>
      </c>
      <c r="N25">
        <v>161</v>
      </c>
    </row>
    <row r="26" spans="1:14" ht="12.75" customHeight="1" x14ac:dyDescent="0.2">
      <c r="A26">
        <v>21</v>
      </c>
      <c r="B26" s="13" t="s">
        <v>52</v>
      </c>
      <c r="C26">
        <v>206</v>
      </c>
      <c r="D26">
        <v>140</v>
      </c>
      <c r="E26">
        <v>382</v>
      </c>
      <c r="F26">
        <v>243</v>
      </c>
      <c r="G26">
        <v>444</v>
      </c>
      <c r="H26">
        <v>125</v>
      </c>
      <c r="I26">
        <v>140</v>
      </c>
      <c r="J26">
        <v>166</v>
      </c>
      <c r="K26">
        <v>150</v>
      </c>
      <c r="L26">
        <v>150</v>
      </c>
      <c r="M26">
        <v>249</v>
      </c>
      <c r="N26">
        <v>182</v>
      </c>
    </row>
    <row r="27" spans="1:14" ht="12.75" customHeight="1" x14ac:dyDescent="0.2">
      <c r="A27">
        <v>22</v>
      </c>
      <c r="B27" s="13" t="s">
        <v>46</v>
      </c>
      <c r="C27">
        <v>189</v>
      </c>
      <c r="D27">
        <v>249</v>
      </c>
      <c r="E27">
        <v>400</v>
      </c>
      <c r="F27">
        <v>147</v>
      </c>
      <c r="G27">
        <v>1028</v>
      </c>
      <c r="H27">
        <v>283</v>
      </c>
      <c r="I27">
        <v>249</v>
      </c>
      <c r="J27">
        <v>235</v>
      </c>
      <c r="K27">
        <v>102</v>
      </c>
      <c r="L27">
        <v>102</v>
      </c>
      <c r="M27">
        <v>357</v>
      </c>
      <c r="N27">
        <v>201</v>
      </c>
    </row>
    <row r="28" spans="1:14" ht="12.75" customHeight="1" x14ac:dyDescent="0.2">
      <c r="A28">
        <v>23</v>
      </c>
      <c r="B28" s="13" t="s">
        <v>47</v>
      </c>
      <c r="C28">
        <v>161</v>
      </c>
      <c r="D28">
        <v>302</v>
      </c>
      <c r="E28">
        <v>357</v>
      </c>
      <c r="F28">
        <v>158</v>
      </c>
      <c r="G28">
        <v>247</v>
      </c>
      <c r="H28">
        <v>166</v>
      </c>
      <c r="I28">
        <v>302</v>
      </c>
      <c r="J28">
        <v>140</v>
      </c>
      <c r="K28">
        <v>247</v>
      </c>
      <c r="L28">
        <v>401</v>
      </c>
      <c r="M28">
        <v>166</v>
      </c>
      <c r="N28">
        <v>158</v>
      </c>
    </row>
    <row r="29" spans="1:14" ht="12.75" customHeight="1" x14ac:dyDescent="0.2">
      <c r="A29">
        <v>24</v>
      </c>
      <c r="B29" s="13" t="s">
        <v>48</v>
      </c>
      <c r="C29">
        <v>182</v>
      </c>
      <c r="D29">
        <v>228</v>
      </c>
      <c r="E29">
        <v>166</v>
      </c>
      <c r="F29">
        <v>102</v>
      </c>
      <c r="G29">
        <v>277</v>
      </c>
      <c r="H29">
        <v>187</v>
      </c>
      <c r="I29">
        <v>499</v>
      </c>
      <c r="J29">
        <v>249</v>
      </c>
      <c r="K29">
        <v>499</v>
      </c>
      <c r="L29">
        <v>299</v>
      </c>
      <c r="M29">
        <v>235</v>
      </c>
      <c r="N29">
        <v>285</v>
      </c>
    </row>
    <row r="30" spans="1:14" ht="12.75" customHeight="1" x14ac:dyDescent="0.2">
      <c r="A30">
        <v>25</v>
      </c>
      <c r="B30" s="13" t="s">
        <v>49</v>
      </c>
      <c r="C30">
        <v>201</v>
      </c>
      <c r="D30">
        <v>412</v>
      </c>
      <c r="E30">
        <v>235</v>
      </c>
      <c r="F30">
        <v>192</v>
      </c>
      <c r="G30">
        <v>208</v>
      </c>
      <c r="H30">
        <v>385</v>
      </c>
      <c r="I30">
        <v>475</v>
      </c>
      <c r="J30">
        <v>302</v>
      </c>
      <c r="K30">
        <v>285</v>
      </c>
      <c r="L30">
        <v>382</v>
      </c>
      <c r="M30">
        <v>140</v>
      </c>
      <c r="N30">
        <v>168</v>
      </c>
    </row>
    <row r="31" spans="1:14" ht="12.75" customHeight="1" x14ac:dyDescent="0.2">
      <c r="A31">
        <v>26</v>
      </c>
      <c r="B31" s="13" t="s">
        <v>50</v>
      </c>
      <c r="C31">
        <v>158</v>
      </c>
      <c r="D31">
        <v>602</v>
      </c>
      <c r="E31">
        <v>140</v>
      </c>
      <c r="F31">
        <v>166</v>
      </c>
      <c r="G31">
        <v>385</v>
      </c>
      <c r="H31">
        <v>277</v>
      </c>
      <c r="I31">
        <v>380</v>
      </c>
      <c r="J31">
        <v>165</v>
      </c>
      <c r="K31">
        <v>168</v>
      </c>
      <c r="L31">
        <v>400</v>
      </c>
      <c r="M31">
        <v>249</v>
      </c>
      <c r="N31">
        <v>350</v>
      </c>
    </row>
    <row r="32" spans="1:14" ht="12.75" customHeight="1" x14ac:dyDescent="0.2">
      <c r="A32">
        <v>27</v>
      </c>
      <c r="B32" s="13" t="s">
        <v>51</v>
      </c>
      <c r="C32">
        <v>158</v>
      </c>
      <c r="D32">
        <v>333</v>
      </c>
      <c r="E32">
        <v>249</v>
      </c>
      <c r="F32">
        <v>235</v>
      </c>
      <c r="G32">
        <v>277</v>
      </c>
      <c r="H32">
        <v>150</v>
      </c>
      <c r="I32">
        <v>299</v>
      </c>
      <c r="J32">
        <v>147</v>
      </c>
      <c r="K32">
        <v>166</v>
      </c>
      <c r="L32">
        <v>158</v>
      </c>
      <c r="M32">
        <v>302</v>
      </c>
      <c r="N32">
        <v>189</v>
      </c>
    </row>
    <row r="33" spans="1:14" ht="12.75" customHeight="1" x14ac:dyDescent="0.2">
      <c r="A33">
        <v>28</v>
      </c>
      <c r="B33" s="13" t="s">
        <v>52</v>
      </c>
      <c r="C33">
        <v>190</v>
      </c>
      <c r="D33">
        <v>279</v>
      </c>
      <c r="E33">
        <v>302</v>
      </c>
      <c r="F33">
        <v>140</v>
      </c>
      <c r="G33">
        <v>150</v>
      </c>
      <c r="H33">
        <v>102</v>
      </c>
      <c r="I33">
        <v>189</v>
      </c>
      <c r="J33">
        <v>158</v>
      </c>
      <c r="K33">
        <v>247</v>
      </c>
      <c r="L33">
        <v>166</v>
      </c>
      <c r="M33">
        <v>228</v>
      </c>
      <c r="N33">
        <v>85</v>
      </c>
    </row>
    <row r="34" spans="1:14" ht="12.75" customHeight="1" x14ac:dyDescent="0.2">
      <c r="A34">
        <v>29</v>
      </c>
      <c r="B34" s="13" t="s">
        <v>46</v>
      </c>
      <c r="C34">
        <v>243</v>
      </c>
      <c r="D34">
        <v>185</v>
      </c>
      <c r="E34">
        <v>499</v>
      </c>
      <c r="F34">
        <v>249</v>
      </c>
      <c r="G34">
        <v>102</v>
      </c>
      <c r="H34">
        <v>401</v>
      </c>
      <c r="I34">
        <v>243</v>
      </c>
      <c r="J34">
        <v>202</v>
      </c>
      <c r="K34">
        <v>125</v>
      </c>
      <c r="L34">
        <v>187</v>
      </c>
      <c r="M34">
        <v>303</v>
      </c>
      <c r="N34">
        <v>208</v>
      </c>
    </row>
    <row r="35" spans="1:14" ht="12.75" customHeight="1" x14ac:dyDescent="0.2">
      <c r="A35">
        <v>30</v>
      </c>
      <c r="B35" s="13" t="s">
        <v>47</v>
      </c>
      <c r="C35">
        <v>147</v>
      </c>
      <c r="D35">
        <v>197</v>
      </c>
      <c r="E35">
        <v>247</v>
      </c>
      <c r="F35">
        <v>302</v>
      </c>
      <c r="G35">
        <v>401</v>
      </c>
      <c r="H35">
        <v>299</v>
      </c>
      <c r="I35">
        <v>189</v>
      </c>
      <c r="J35">
        <v>102</v>
      </c>
      <c r="K35">
        <v>277</v>
      </c>
      <c r="L35">
        <v>187</v>
      </c>
      <c r="M35">
        <v>602</v>
      </c>
      <c r="N35">
        <v>190</v>
      </c>
    </row>
    <row r="36" spans="1:14" ht="12.75" customHeight="1" x14ac:dyDescent="0.2">
      <c r="A36">
        <v>31</v>
      </c>
      <c r="B36" s="13" t="s">
        <v>48</v>
      </c>
      <c r="C36">
        <v>98</v>
      </c>
      <c r="D36">
        <v>222</v>
      </c>
      <c r="E36">
        <v>300</v>
      </c>
      <c r="F36">
        <v>228</v>
      </c>
      <c r="G36">
        <v>299</v>
      </c>
      <c r="H36">
        <v>382</v>
      </c>
      <c r="I36">
        <v>243</v>
      </c>
      <c r="J36">
        <v>299</v>
      </c>
      <c r="K36">
        <v>202</v>
      </c>
      <c r="L36">
        <v>125</v>
      </c>
      <c r="M36">
        <v>147</v>
      </c>
      <c r="N36">
        <v>497</v>
      </c>
    </row>
    <row r="38" spans="1:14" x14ac:dyDescent="0.2">
      <c r="B38" s="13" t="s">
        <v>53</v>
      </c>
    </row>
  </sheetData>
  <mergeCells count="1">
    <mergeCell ref="E2:I2"/>
  </mergeCells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core-i5</dc:creator>
  <cp:keywords/>
  <dc:description/>
  <cp:lastModifiedBy>core-i5</cp:lastModifiedBy>
  <cp:revision/>
  <dcterms:created xsi:type="dcterms:W3CDTF">2008-07-17T07:04:56Z</dcterms:created>
  <dcterms:modified xsi:type="dcterms:W3CDTF">2016-10-28T06:29:25Z</dcterms:modified>
  <cp:category/>
</cp:coreProperties>
</file>